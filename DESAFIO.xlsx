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7mo semestre\metodos\"/>
    </mc:Choice>
  </mc:AlternateContent>
  <bookViews>
    <workbookView xWindow="0" yWindow="0" windowWidth="24000" windowHeight="9600"/>
  </bookViews>
  <sheets>
    <sheet name="ejercicio 1" sheetId="1" r:id="rId1"/>
    <sheet name="ejercicio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7" i="2" l="1"/>
  <c r="D38" i="2" s="1"/>
  <c r="F36" i="2"/>
  <c r="E36" i="2"/>
  <c r="D36" i="2"/>
  <c r="J26" i="2"/>
  <c r="E32" i="2" s="1"/>
  <c r="J25" i="2"/>
  <c r="E25" i="2" s="1"/>
  <c r="E31" i="2" s="1"/>
  <c r="E37" i="2" s="1"/>
  <c r="J26" i="1"/>
  <c r="F32" i="1" s="1"/>
  <c r="J25" i="1"/>
  <c r="D37" i="1"/>
  <c r="D38" i="1" s="1"/>
  <c r="F36" i="1"/>
  <c r="E36" i="1"/>
  <c r="D36" i="1"/>
  <c r="E25" i="1"/>
  <c r="E31" i="1" s="1"/>
  <c r="E37" i="1" s="1"/>
  <c r="D25" i="2" l="1"/>
  <c r="F25" i="2"/>
  <c r="F31" i="2" s="1"/>
  <c r="F37" i="2" s="1"/>
  <c r="K26" i="2"/>
  <c r="I47" i="2" s="1" a="1"/>
  <c r="D32" i="2"/>
  <c r="F32" i="2"/>
  <c r="E32" i="1"/>
  <c r="K26" i="1" s="1"/>
  <c r="F25" i="1"/>
  <c r="F31" i="1" s="1"/>
  <c r="F37" i="1" s="1"/>
  <c r="D25" i="1"/>
  <c r="D32" i="1"/>
  <c r="E38" i="2" l="1"/>
  <c r="F38" i="2"/>
  <c r="D42" i="2" a="1"/>
  <c r="F44" i="2" s="1"/>
  <c r="I52" i="2" a="1"/>
  <c r="I49" i="2"/>
  <c r="K47" i="2"/>
  <c r="K48" i="2"/>
  <c r="J47" i="2"/>
  <c r="K49" i="2"/>
  <c r="J48" i="2"/>
  <c r="I47" i="2"/>
  <c r="J49" i="2"/>
  <c r="I48" i="2"/>
  <c r="F38" i="1"/>
  <c r="I47" i="1" a="1"/>
  <c r="E38" i="1"/>
  <c r="F43" i="2" l="1"/>
  <c r="E44" i="2"/>
  <c r="F42" i="2"/>
  <c r="D42" i="2"/>
  <c r="D44" i="2"/>
  <c r="E43" i="2"/>
  <c r="E42" i="2"/>
  <c r="D43" i="2"/>
  <c r="D48" i="2" a="1"/>
  <c r="D50" i="2" s="1"/>
  <c r="K54" i="2"/>
  <c r="J53" i="2"/>
  <c r="I52" i="2"/>
  <c r="J54" i="2"/>
  <c r="I53" i="2"/>
  <c r="I54" i="2"/>
  <c r="K52" i="2"/>
  <c r="K53" i="2"/>
  <c r="J52" i="2"/>
  <c r="D42" i="1" a="1"/>
  <c r="F44" i="1" s="1"/>
  <c r="I49" i="1"/>
  <c r="K47" i="1"/>
  <c r="K48" i="1"/>
  <c r="J47" i="1"/>
  <c r="K49" i="1"/>
  <c r="J48" i="1"/>
  <c r="I47" i="1"/>
  <c r="J49" i="1"/>
  <c r="I48" i="1"/>
  <c r="I52" i="1" a="1"/>
  <c r="D48" i="2" l="1"/>
  <c r="D49" i="2"/>
  <c r="D52" i="2" a="1"/>
  <c r="D52" i="2" s="1"/>
  <c r="E42" i="1"/>
  <c r="D48" i="1" a="1"/>
  <c r="D50" i="1" s="1"/>
  <c r="E44" i="1"/>
  <c r="D42" i="1"/>
  <c r="D44" i="1"/>
  <c r="E43" i="1"/>
  <c r="F42" i="1"/>
  <c r="F43" i="1"/>
  <c r="D43" i="1"/>
  <c r="K54" i="1"/>
  <c r="J53" i="1"/>
  <c r="I52" i="1"/>
  <c r="J54" i="1"/>
  <c r="I53" i="1"/>
  <c r="I54" i="1"/>
  <c r="K52" i="1"/>
  <c r="K53" i="1"/>
  <c r="J52" i="1"/>
  <c r="D53" i="2" l="1"/>
  <c r="D54" i="2"/>
  <c r="D49" i="1"/>
  <c r="D48" i="1"/>
  <c r="D52" i="1" s="1" a="1"/>
  <c r="D52" i="1" s="1"/>
  <c r="D54" i="1" l="1"/>
  <c r="D53" i="1"/>
</calcChain>
</file>

<file path=xl/sharedStrings.xml><?xml version="1.0" encoding="utf-8"?>
<sst xmlns="http://schemas.openxmlformats.org/spreadsheetml/2006/main" count="46" uniqueCount="28">
  <si>
    <t>a =</t>
  </si>
  <si>
    <t>b =</t>
  </si>
  <si>
    <t>a= u0</t>
  </si>
  <si>
    <t>-f21 *a1i + a2i</t>
  </si>
  <si>
    <t>u1=</t>
  </si>
  <si>
    <t>L0</t>
  </si>
  <si>
    <t>f21</t>
  </si>
  <si>
    <t>f31</t>
  </si>
  <si>
    <t>f32</t>
  </si>
  <si>
    <t>u2</t>
  </si>
  <si>
    <t>u3</t>
  </si>
  <si>
    <t>a= l* u</t>
  </si>
  <si>
    <t xml:space="preserve">L d =b </t>
  </si>
  <si>
    <t>inv(L) * b</t>
  </si>
  <si>
    <t>inv(L)</t>
  </si>
  <si>
    <t>U x = d</t>
  </si>
  <si>
    <t>inv(U)</t>
  </si>
  <si>
    <t>inv(u) *d</t>
  </si>
  <si>
    <t xml:space="preserve"> a=[ 10 2 -1;-3 -6 2;1 1 5]</t>
  </si>
  <si>
    <t xml:space="preserve">    10.0000   2.0000   -1.0000</t>
  </si>
  <si>
    <t xml:space="preserve">    -3.0000    -6.0000   2.0000</t>
  </si>
  <si>
    <t xml:space="preserve">    1.0000   1.0000   5.0000</t>
  </si>
  <si>
    <t>&gt;&gt; b=[27;-61.5;-21.5]</t>
  </si>
  <si>
    <t xml:space="preserve"> a=[ 8 4 -1;-2 5 1;2 -1 6]</t>
  </si>
  <si>
    <t xml:space="preserve">    8.0000   4.0000   -1.0000</t>
  </si>
  <si>
    <t xml:space="preserve">    -2.0000    5.0000   1.0000</t>
  </si>
  <si>
    <t xml:space="preserve">    2.0000   -1.0000   6.0000</t>
  </si>
  <si>
    <t>&gt;&gt; b=[11;4;7]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</si>
</sst>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4" fontId="0" fillId="0" borderId="0" xfId="0" applyNumberFormat="1"/>
    <xf numFmtId="3" fontId="0" fillId="3" borderId="0" xfId="0" applyNumberFormat="1" applyFill="1"/>
    <xf numFmtId="0" fontId="0" fillId="3" borderId="0" xfId="0" applyFill="1"/>
    <xf numFmtId="164" fontId="0" fillId="3" borderId="0" xfId="0" applyNumberFormat="1" applyFill="1"/>
    <xf numFmtId="0" fontId="0" fillId="0" borderId="0" xfId="0" quotePrefix="1"/>
    <xf numFmtId="0" fontId="0" fillId="0" borderId="0" xfId="0" applyAlignment="1">
      <alignment horizontal="right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266700</xdr:colOff>
      <xdr:row>0</xdr:row>
      <xdr:rowOff>1</xdr:rowOff>
    </xdr:from>
    <xdr:to>
      <xdr:col>12</xdr:col>
      <xdr:colOff>323849</xdr:colOff>
      <xdr:row>11</xdr:row>
      <xdr:rowOff>38101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CF4923D-FE48-486A-8B7A-1ED6205A3E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38402"/>
        <a:stretch/>
      </xdr:blipFill>
      <xdr:spPr>
        <a:xfrm>
          <a:off x="4838700" y="1"/>
          <a:ext cx="4629149" cy="2133600"/>
        </a:xfrm>
        <a:prstGeom prst="rect">
          <a:avLst/>
        </a:prstGeom>
      </xdr:spPr>
    </xdr:pic>
    <xdr:clientData/>
  </xdr:twoCellAnchor>
  <xdr:twoCellAnchor editAs="oneCell">
    <xdr:from>
      <xdr:col>6</xdr:col>
      <xdr:colOff>695183</xdr:colOff>
      <xdr:row>23</xdr:row>
      <xdr:rowOff>142875</xdr:rowOff>
    </xdr:from>
    <xdr:to>
      <xdr:col>8</xdr:col>
      <xdr:colOff>166214</xdr:colOff>
      <xdr:row>25</xdr:row>
      <xdr:rowOff>189228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5CC1911-2D53-476A-BE7B-190F0715A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67183" y="4524375"/>
          <a:ext cx="995031" cy="427353"/>
        </a:xfrm>
        <a:prstGeom prst="rect">
          <a:avLst/>
        </a:prstGeom>
      </xdr:spPr>
    </xdr:pic>
    <xdr:clientData/>
  </xdr:twoCellAnchor>
  <xdr:twoCellAnchor editAs="oneCell">
    <xdr:from>
      <xdr:col>6</xdr:col>
      <xdr:colOff>635403</xdr:colOff>
      <xdr:row>28</xdr:row>
      <xdr:rowOff>183696</xdr:rowOff>
    </xdr:from>
    <xdr:to>
      <xdr:col>8</xdr:col>
      <xdr:colOff>213833</xdr:colOff>
      <xdr:row>37</xdr:row>
      <xdr:rowOff>31581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C02E911-32EF-481B-B6A9-34FEFCB81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07403" y="5517696"/>
          <a:ext cx="1102430" cy="15623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695183</xdr:colOff>
      <xdr:row>23</xdr:row>
      <xdr:rowOff>142875</xdr:rowOff>
    </xdr:from>
    <xdr:to>
      <xdr:col>8</xdr:col>
      <xdr:colOff>166214</xdr:colOff>
      <xdr:row>25</xdr:row>
      <xdr:rowOff>189228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EF4431-3125-443D-9417-2A70EC634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183" y="4524375"/>
          <a:ext cx="995031" cy="427353"/>
        </a:xfrm>
        <a:prstGeom prst="rect">
          <a:avLst/>
        </a:prstGeom>
      </xdr:spPr>
    </xdr:pic>
    <xdr:clientData/>
  </xdr:twoCellAnchor>
  <xdr:twoCellAnchor editAs="oneCell">
    <xdr:from>
      <xdr:col>6</xdr:col>
      <xdr:colOff>635403</xdr:colOff>
      <xdr:row>28</xdr:row>
      <xdr:rowOff>183696</xdr:rowOff>
    </xdr:from>
    <xdr:to>
      <xdr:col>8</xdr:col>
      <xdr:colOff>213833</xdr:colOff>
      <xdr:row>37</xdr:row>
      <xdr:rowOff>31581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F134C3A-7B63-4C86-9C28-3CF3550AF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07403" y="5517696"/>
          <a:ext cx="1102430" cy="1562385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0</xdr:row>
      <xdr:rowOff>133350</xdr:rowOff>
    </xdr:from>
    <xdr:to>
      <xdr:col>13</xdr:col>
      <xdr:colOff>229355</xdr:colOff>
      <xdr:row>8</xdr:row>
      <xdr:rowOff>162490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641DE78-2D21-4811-8D8E-9F0DD5CC35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61638"/>
        <a:stretch/>
      </xdr:blipFill>
      <xdr:spPr>
        <a:xfrm>
          <a:off x="4724400" y="133350"/>
          <a:ext cx="5410955" cy="1553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T54"/>
  <sheetViews>
    <sheetView tabSelected="1" zoomScale="110" zoomScaleNormal="110" workbookViewId="0">
      <selection activeCell="O20" sqref="O20"/>
    </sheetView>
  </sheetViews>
  <sheetFormatPr baseColWidth="10" defaultRowHeight="15" x14ac:dyDescent="0.25"/>
  <sheetData>
    <row r="4" spans="4:14" x14ac:dyDescent="0.25">
      <c r="D4" t="s">
        <v>18</v>
      </c>
    </row>
    <row r="5" spans="4:14" x14ac:dyDescent="0.25">
      <c r="D5" t="s">
        <v>0</v>
      </c>
    </row>
    <row r="7" spans="4:14" x14ac:dyDescent="0.25">
      <c r="D7" s="1" t="s">
        <v>19</v>
      </c>
      <c r="E7" s="1"/>
      <c r="F7" s="1"/>
      <c r="N7" s="1"/>
    </row>
    <row r="8" spans="4:14" x14ac:dyDescent="0.25">
      <c r="D8" s="1" t="s">
        <v>20</v>
      </c>
      <c r="E8" s="1"/>
      <c r="F8" s="1"/>
      <c r="N8" s="1"/>
    </row>
    <row r="9" spans="4:14" x14ac:dyDescent="0.25">
      <c r="D9" s="1" t="s">
        <v>21</v>
      </c>
      <c r="E9" s="1"/>
      <c r="F9" s="1"/>
      <c r="N9" s="1"/>
    </row>
    <row r="11" spans="4:14" x14ac:dyDescent="0.25">
      <c r="D11" t="s">
        <v>22</v>
      </c>
    </row>
    <row r="12" spans="4:14" x14ac:dyDescent="0.25">
      <c r="D12" t="s">
        <v>1</v>
      </c>
    </row>
    <row r="14" spans="4:14" x14ac:dyDescent="0.25">
      <c r="D14" s="2">
        <v>27</v>
      </c>
    </row>
    <row r="15" spans="4:14" x14ac:dyDescent="0.25">
      <c r="D15" s="2">
        <v>-61.5</v>
      </c>
    </row>
    <row r="16" spans="4:14" x14ac:dyDescent="0.25">
      <c r="D16" s="2">
        <v>-21.5</v>
      </c>
    </row>
    <row r="19" spans="2:20" x14ac:dyDescent="0.25">
      <c r="D19" s="3">
        <v>10</v>
      </c>
      <c r="E19" s="4">
        <v>2</v>
      </c>
      <c r="F19" s="4">
        <v>-1</v>
      </c>
      <c r="N19" s="4"/>
    </row>
    <row r="20" spans="2:20" x14ac:dyDescent="0.25">
      <c r="B20" t="s">
        <v>2</v>
      </c>
      <c r="D20" s="5">
        <v>-3</v>
      </c>
      <c r="E20" s="4">
        <v>-6</v>
      </c>
      <c r="F20" s="4">
        <v>2</v>
      </c>
      <c r="J20" s="6" t="s">
        <v>3</v>
      </c>
      <c r="N20" s="4"/>
      <c r="R20" s="6"/>
    </row>
    <row r="21" spans="2:20" x14ac:dyDescent="0.25">
      <c r="D21" s="4">
        <v>1</v>
      </c>
      <c r="E21" s="4">
        <v>1</v>
      </c>
      <c r="F21" s="4">
        <v>5</v>
      </c>
      <c r="N21" s="4"/>
    </row>
    <row r="24" spans="2:20" x14ac:dyDescent="0.25">
      <c r="B24" t="s">
        <v>4</v>
      </c>
      <c r="D24" s="1">
        <v>10</v>
      </c>
      <c r="E24" s="1">
        <v>2</v>
      </c>
      <c r="F24" s="1">
        <v>-1</v>
      </c>
      <c r="I24" s="7" t="s">
        <v>5</v>
      </c>
      <c r="J24" s="1">
        <v>1</v>
      </c>
      <c r="K24" s="1">
        <v>0</v>
      </c>
      <c r="L24" s="1">
        <v>0</v>
      </c>
      <c r="N24" s="1"/>
      <c r="Q24" s="7"/>
      <c r="R24" s="1"/>
      <c r="S24" s="1"/>
      <c r="T24" s="1"/>
    </row>
    <row r="25" spans="2:20" x14ac:dyDescent="0.25">
      <c r="D25" s="1">
        <f>+-J25*D24+D20</f>
        <v>0</v>
      </c>
      <c r="E25" s="1">
        <f>+-J25*E19+E20</f>
        <v>-5.4</v>
      </c>
      <c r="F25" s="1">
        <f>+-J25*F19+F20</f>
        <v>1.7</v>
      </c>
      <c r="J25" s="8">
        <f>+D20/D19</f>
        <v>-0.3</v>
      </c>
      <c r="K25" s="1">
        <v>1</v>
      </c>
      <c r="L25" s="1">
        <v>0</v>
      </c>
      <c r="N25" s="1"/>
      <c r="R25" s="8"/>
      <c r="S25" s="1"/>
      <c r="T25" s="1"/>
    </row>
    <row r="26" spans="2:20" x14ac:dyDescent="0.25">
      <c r="D26" s="1">
        <v>1</v>
      </c>
      <c r="E26" s="1">
        <v>1</v>
      </c>
      <c r="F26" s="1">
        <v>5</v>
      </c>
      <c r="J26" s="8">
        <f>+D26/D24</f>
        <v>0.1</v>
      </c>
      <c r="K26" s="8">
        <f>+E32/E31</f>
        <v>-0.14814814814814814</v>
      </c>
      <c r="L26" s="1">
        <v>1</v>
      </c>
      <c r="N26" s="1"/>
      <c r="R26" s="8"/>
      <c r="S26" s="8"/>
      <c r="T26" s="1"/>
    </row>
    <row r="28" spans="2:20" x14ac:dyDescent="0.25">
      <c r="J28" s="9">
        <v>1</v>
      </c>
      <c r="K28" s="9">
        <v>0</v>
      </c>
      <c r="L28" s="9">
        <v>0</v>
      </c>
      <c r="R28" s="9"/>
      <c r="S28" s="9"/>
      <c r="T28" s="9"/>
    </row>
    <row r="29" spans="2:20" x14ac:dyDescent="0.25">
      <c r="J29" s="9" t="s">
        <v>6</v>
      </c>
      <c r="K29" s="9">
        <v>1</v>
      </c>
      <c r="L29" s="9">
        <v>0</v>
      </c>
      <c r="R29" s="9"/>
      <c r="S29" s="9"/>
      <c r="T29" s="9"/>
    </row>
    <row r="30" spans="2:20" x14ac:dyDescent="0.25">
      <c r="D30" s="1">
        <v>10</v>
      </c>
      <c r="E30" s="1">
        <v>2</v>
      </c>
      <c r="F30" s="1">
        <v>-1</v>
      </c>
      <c r="J30" s="9" t="s">
        <v>7</v>
      </c>
      <c r="K30" s="9" t="s">
        <v>8</v>
      </c>
      <c r="L30" s="9">
        <v>1</v>
      </c>
      <c r="N30" s="1"/>
      <c r="R30" s="9"/>
      <c r="S30" s="9"/>
      <c r="T30" s="9"/>
    </row>
    <row r="31" spans="2:20" x14ac:dyDescent="0.25">
      <c r="B31" t="s">
        <v>9</v>
      </c>
      <c r="D31" s="1">
        <v>0</v>
      </c>
      <c r="E31" s="1">
        <f>+E25</f>
        <v>-5.4</v>
      </c>
      <c r="F31" s="1">
        <f>+F25</f>
        <v>1.7</v>
      </c>
      <c r="N31" s="1"/>
    </row>
    <row r="32" spans="2:20" x14ac:dyDescent="0.25">
      <c r="D32" s="1">
        <f>+-J26*D19+D21</f>
        <v>0</v>
      </c>
      <c r="E32" s="1">
        <f>+-J26*E24+E26</f>
        <v>0.8</v>
      </c>
      <c r="F32" s="1">
        <f>+-J26*F24+F26</f>
        <v>5.0999999999999996</v>
      </c>
      <c r="N32" s="1"/>
    </row>
    <row r="36" spans="2:14" x14ac:dyDescent="0.25">
      <c r="B36" t="s">
        <v>10</v>
      </c>
      <c r="D36" s="1">
        <f>+D30</f>
        <v>10</v>
      </c>
      <c r="E36" s="1">
        <f t="shared" ref="E36:F37" si="0">+E30</f>
        <v>2</v>
      </c>
      <c r="F36" s="1">
        <f t="shared" si="0"/>
        <v>-1</v>
      </c>
      <c r="N36" s="1"/>
    </row>
    <row r="37" spans="2:14" x14ac:dyDescent="0.25">
      <c r="D37" s="1">
        <f>+D31</f>
        <v>0</v>
      </c>
      <c r="E37" s="1">
        <f t="shared" si="0"/>
        <v>-5.4</v>
      </c>
      <c r="F37" s="1">
        <f t="shared" si="0"/>
        <v>1.7</v>
      </c>
      <c r="N37" s="1"/>
    </row>
    <row r="38" spans="2:14" x14ac:dyDescent="0.25">
      <c r="D38" s="1">
        <f>+D37</f>
        <v>0</v>
      </c>
      <c r="E38" s="1">
        <f>+-K26*E31+E32</f>
        <v>0</v>
      </c>
      <c r="F38" s="1">
        <f>+-K26*F31+F32</f>
        <v>5.3518518518518512</v>
      </c>
      <c r="N38" s="1"/>
    </row>
    <row r="42" spans="2:14" x14ac:dyDescent="0.25">
      <c r="B42" t="s">
        <v>11</v>
      </c>
      <c r="D42" s="1">
        <f t="array" ref="D42:F44">+MMULT(J24:L26,D36:F38)</f>
        <v>10</v>
      </c>
      <c r="E42" s="1">
        <v>2</v>
      </c>
      <c r="F42" s="1">
        <v>-1</v>
      </c>
      <c r="N42" s="1"/>
    </row>
    <row r="43" spans="2:14" x14ac:dyDescent="0.25">
      <c r="D43" s="1">
        <v>-3</v>
      </c>
      <c r="E43" s="1">
        <v>-6</v>
      </c>
      <c r="F43" s="1">
        <v>2</v>
      </c>
      <c r="N43" s="1"/>
    </row>
    <row r="44" spans="2:14" x14ac:dyDescent="0.25">
      <c r="D44" s="1">
        <v>1</v>
      </c>
      <c r="E44" s="1">
        <v>1</v>
      </c>
      <c r="F44" s="1">
        <v>4.9999999999999991</v>
      </c>
      <c r="N44" s="1"/>
    </row>
    <row r="47" spans="2:14" x14ac:dyDescent="0.25">
      <c r="B47" s="1"/>
      <c r="I47">
        <f t="array" ref="I47:K49">+MINVERSE(J24:L26)</f>
        <v>1</v>
      </c>
      <c r="J47">
        <v>0</v>
      </c>
      <c r="K47">
        <v>0</v>
      </c>
    </row>
    <row r="48" spans="2:14" x14ac:dyDescent="0.25">
      <c r="B48" s="1" t="s">
        <v>12</v>
      </c>
      <c r="D48">
        <f t="array" ref="D48:D50">+MMULT(I47:K49,D14:D16)</f>
        <v>27</v>
      </c>
      <c r="F48" t="s">
        <v>13</v>
      </c>
      <c r="H48" t="s">
        <v>14</v>
      </c>
      <c r="I48">
        <v>0.3</v>
      </c>
      <c r="J48">
        <v>1</v>
      </c>
      <c r="K48">
        <v>0</v>
      </c>
    </row>
    <row r="49" spans="2:11" x14ac:dyDescent="0.25">
      <c r="B49" s="1"/>
      <c r="D49">
        <v>-53.4</v>
      </c>
      <c r="I49">
        <v>-5.5555555555555566E-2</v>
      </c>
      <c r="J49">
        <v>0.14814814814814814</v>
      </c>
      <c r="K49">
        <v>1</v>
      </c>
    </row>
    <row r="50" spans="2:11" x14ac:dyDescent="0.25">
      <c r="B50" s="1"/>
      <c r="D50">
        <v>-32.111111111111114</v>
      </c>
    </row>
    <row r="51" spans="2:11" x14ac:dyDescent="0.25">
      <c r="B51" s="1"/>
    </row>
    <row r="52" spans="2:11" x14ac:dyDescent="0.25">
      <c r="B52" s="1" t="s">
        <v>15</v>
      </c>
      <c r="D52" s="1">
        <f t="array" ref="D52:D54">+MMULT(I52:K54,D48:D50)</f>
        <v>0.50000000000000022</v>
      </c>
      <c r="H52" t="s">
        <v>16</v>
      </c>
      <c r="I52">
        <f t="array" ref="I52:K54">+MINVERSE(D36:F38)</f>
        <v>0.1</v>
      </c>
      <c r="J52">
        <v>3.7037037037037035E-2</v>
      </c>
      <c r="K52">
        <v>6.9204152249134968E-3</v>
      </c>
    </row>
    <row r="53" spans="2:11" x14ac:dyDescent="0.25">
      <c r="B53" s="1"/>
      <c r="D53" s="1">
        <v>7.9999999999999982</v>
      </c>
      <c r="F53" t="s">
        <v>17</v>
      </c>
      <c r="I53">
        <v>0</v>
      </c>
      <c r="J53">
        <v>-0.18518518518518517</v>
      </c>
      <c r="K53">
        <v>5.8823529411764712E-2</v>
      </c>
    </row>
    <row r="54" spans="2:11" x14ac:dyDescent="0.25">
      <c r="B54" s="1"/>
      <c r="D54" s="1">
        <v>-6.0000000000000018</v>
      </c>
      <c r="I54">
        <v>0</v>
      </c>
      <c r="J54">
        <v>0</v>
      </c>
      <c r="K54">
        <v>0.18685121107266439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N54"/>
  <sheetViews>
    <sheetView topLeftCell="A53" workbookViewId="0">
      <selection activeCell="D15" sqref="D15"/>
    </sheetView>
  </sheetViews>
  <sheetFormatPr baseColWidth="10" defaultRowHeight="15" x14ac:dyDescent="0.25"/>
  <sheetData>
    <row r="4" spans="4:14" x14ac:dyDescent="0.25">
      <c r="D4" t="s">
        <v>23</v>
      </c>
    </row>
    <row r="5" spans="4:14" x14ac:dyDescent="0.25">
      <c r="D5" t="s">
        <v>0</v>
      </c>
    </row>
    <row r="7" spans="4:14" x14ac:dyDescent="0.25">
      <c r="D7" s="1" t="s">
        <v>24</v>
      </c>
      <c r="E7" s="1"/>
      <c r="F7" s="1"/>
      <c r="N7" s="1"/>
    </row>
    <row r="8" spans="4:14" x14ac:dyDescent="0.25">
      <c r="D8" s="1" t="s">
        <v>25</v>
      </c>
      <c r="E8" s="1"/>
      <c r="F8" s="1"/>
      <c r="N8" s="1"/>
    </row>
    <row r="9" spans="4:14" x14ac:dyDescent="0.25">
      <c r="D9" s="1" t="s">
        <v>26</v>
      </c>
      <c r="E9" s="1"/>
      <c r="F9" s="1"/>
      <c r="N9" s="1"/>
    </row>
    <row r="11" spans="4:14" x14ac:dyDescent="0.25">
      <c r="D11" t="s">
        <v>27</v>
      </c>
    </row>
    <row r="12" spans="4:14" x14ac:dyDescent="0.25">
      <c r="D12" t="s">
        <v>1</v>
      </c>
    </row>
    <row r="14" spans="4:14" x14ac:dyDescent="0.25">
      <c r="D14" s="2">
        <v>11</v>
      </c>
    </row>
    <row r="15" spans="4:14" x14ac:dyDescent="0.25">
      <c r="D15" s="2">
        <v>4</v>
      </c>
    </row>
    <row r="16" spans="4:14" x14ac:dyDescent="0.25">
      <c r="D16" s="2">
        <v>7</v>
      </c>
    </row>
    <row r="19" spans="2:14" x14ac:dyDescent="0.25">
      <c r="D19" s="3">
        <v>8</v>
      </c>
      <c r="E19" s="4">
        <v>4</v>
      </c>
      <c r="F19" s="4">
        <v>-1</v>
      </c>
      <c r="N19" s="4"/>
    </row>
    <row r="20" spans="2:14" x14ac:dyDescent="0.25">
      <c r="B20" t="s">
        <v>2</v>
      </c>
      <c r="D20" s="5">
        <v>-2</v>
      </c>
      <c r="E20" s="4">
        <v>5</v>
      </c>
      <c r="F20" s="4">
        <v>1</v>
      </c>
      <c r="J20" s="6" t="s">
        <v>3</v>
      </c>
      <c r="N20" s="4"/>
    </row>
    <row r="21" spans="2:14" x14ac:dyDescent="0.25">
      <c r="D21" s="4">
        <v>2</v>
      </c>
      <c r="E21" s="4">
        <v>-1</v>
      </c>
      <c r="F21" s="4">
        <v>6</v>
      </c>
      <c r="N21" s="4"/>
    </row>
    <row r="24" spans="2:14" x14ac:dyDescent="0.25">
      <c r="B24" t="s">
        <v>4</v>
      </c>
      <c r="D24" s="1">
        <v>8</v>
      </c>
      <c r="E24" s="1">
        <v>4</v>
      </c>
      <c r="F24" s="1">
        <v>-1</v>
      </c>
      <c r="I24" s="7" t="s">
        <v>5</v>
      </c>
      <c r="J24" s="1">
        <v>1</v>
      </c>
      <c r="K24" s="1">
        <v>0</v>
      </c>
      <c r="L24" s="1">
        <v>0</v>
      </c>
      <c r="N24" s="1"/>
    </row>
    <row r="25" spans="2:14" x14ac:dyDescent="0.25">
      <c r="D25" s="1">
        <f>+-J25*D24+D20</f>
        <v>0</v>
      </c>
      <c r="E25" s="1">
        <f>+-J25*E19+E20</f>
        <v>6</v>
      </c>
      <c r="F25" s="1">
        <f>+-J25*F19+F20</f>
        <v>0.75</v>
      </c>
      <c r="J25" s="8">
        <f>+D20/D19</f>
        <v>-0.25</v>
      </c>
      <c r="K25" s="1">
        <v>1</v>
      </c>
      <c r="L25" s="1">
        <v>0</v>
      </c>
      <c r="N25" s="1"/>
    </row>
    <row r="26" spans="2:14" x14ac:dyDescent="0.25">
      <c r="D26" s="1">
        <v>2</v>
      </c>
      <c r="E26" s="1">
        <v>-1</v>
      </c>
      <c r="F26" s="1">
        <v>6</v>
      </c>
      <c r="J26" s="8">
        <f>+D26/D24</f>
        <v>0.25</v>
      </c>
      <c r="K26" s="8">
        <f>+E32/E31</f>
        <v>-0.33333333333333331</v>
      </c>
      <c r="L26" s="1">
        <v>1</v>
      </c>
      <c r="N26" s="1"/>
    </row>
    <row r="28" spans="2:14" x14ac:dyDescent="0.25">
      <c r="J28" s="9">
        <v>1</v>
      </c>
      <c r="K28" s="9">
        <v>0</v>
      </c>
      <c r="L28" s="9">
        <v>0</v>
      </c>
    </row>
    <row r="29" spans="2:14" x14ac:dyDescent="0.25">
      <c r="J29" s="9" t="s">
        <v>6</v>
      </c>
      <c r="K29" s="9">
        <v>1</v>
      </c>
      <c r="L29" s="9">
        <v>0</v>
      </c>
    </row>
    <row r="30" spans="2:14" x14ac:dyDescent="0.25">
      <c r="D30" s="1">
        <v>8</v>
      </c>
      <c r="E30" s="1">
        <v>4</v>
      </c>
      <c r="F30" s="1">
        <v>-1</v>
      </c>
      <c r="J30" s="9" t="s">
        <v>7</v>
      </c>
      <c r="K30" s="9" t="s">
        <v>8</v>
      </c>
      <c r="L30" s="9">
        <v>1</v>
      </c>
      <c r="N30" s="1"/>
    </row>
    <row r="31" spans="2:14" x14ac:dyDescent="0.25">
      <c r="B31" t="s">
        <v>9</v>
      </c>
      <c r="D31" s="1">
        <v>0</v>
      </c>
      <c r="E31" s="1">
        <f>+E25</f>
        <v>6</v>
      </c>
      <c r="F31" s="1">
        <f>+F25</f>
        <v>0.75</v>
      </c>
      <c r="N31" s="1"/>
    </row>
    <row r="32" spans="2:14" x14ac:dyDescent="0.25">
      <c r="D32" s="1">
        <f>+-J26*D19+D21</f>
        <v>0</v>
      </c>
      <c r="E32" s="1">
        <f>+-J26*E24+E26</f>
        <v>-2</v>
      </c>
      <c r="F32" s="1">
        <f>+-J26*F24+F26</f>
        <v>6.25</v>
      </c>
      <c r="N32" s="1"/>
    </row>
    <row r="36" spans="2:14" x14ac:dyDescent="0.25">
      <c r="B36" t="s">
        <v>10</v>
      </c>
      <c r="D36" s="1">
        <f>+D30</f>
        <v>8</v>
      </c>
      <c r="E36" s="1">
        <f t="shared" ref="E36:F37" si="0">+E30</f>
        <v>4</v>
      </c>
      <c r="F36" s="1">
        <f t="shared" si="0"/>
        <v>-1</v>
      </c>
      <c r="N36" s="1"/>
    </row>
    <row r="37" spans="2:14" x14ac:dyDescent="0.25">
      <c r="D37" s="1">
        <f>+D31</f>
        <v>0</v>
      </c>
      <c r="E37" s="1">
        <f t="shared" si="0"/>
        <v>6</v>
      </c>
      <c r="F37" s="1">
        <f t="shared" si="0"/>
        <v>0.75</v>
      </c>
      <c r="N37" s="1"/>
    </row>
    <row r="38" spans="2:14" x14ac:dyDescent="0.25">
      <c r="D38" s="1">
        <f>+D37</f>
        <v>0</v>
      </c>
      <c r="E38" s="1">
        <f>+-K26*E31+E32</f>
        <v>0</v>
      </c>
      <c r="F38" s="1">
        <f>+-K26*F31+F32</f>
        <v>6.5</v>
      </c>
      <c r="N38" s="1"/>
    </row>
    <row r="42" spans="2:14" x14ac:dyDescent="0.25">
      <c r="B42" t="s">
        <v>11</v>
      </c>
      <c r="D42" s="1">
        <f t="array" ref="D42:F44">+MMULT(J24:L26,D36:F38)</f>
        <v>8</v>
      </c>
      <c r="E42" s="1">
        <v>4</v>
      </c>
      <c r="F42" s="1">
        <v>-1</v>
      </c>
      <c r="N42" s="1"/>
    </row>
    <row r="43" spans="2:14" x14ac:dyDescent="0.25">
      <c r="D43" s="1">
        <v>-2</v>
      </c>
      <c r="E43" s="1">
        <v>5</v>
      </c>
      <c r="F43" s="1">
        <v>1</v>
      </c>
      <c r="N43" s="1"/>
    </row>
    <row r="44" spans="2:14" x14ac:dyDescent="0.25">
      <c r="D44" s="1">
        <v>2</v>
      </c>
      <c r="E44" s="1">
        <v>-1</v>
      </c>
      <c r="F44" s="1">
        <v>6</v>
      </c>
      <c r="N44" s="1"/>
    </row>
    <row r="47" spans="2:14" x14ac:dyDescent="0.25">
      <c r="B47" s="1"/>
      <c r="I47">
        <f t="array" ref="I47:K49">+MINVERSE(J24:L26)</f>
        <v>1</v>
      </c>
      <c r="J47">
        <v>0</v>
      </c>
      <c r="K47">
        <v>0</v>
      </c>
    </row>
    <row r="48" spans="2:14" x14ac:dyDescent="0.25">
      <c r="B48" s="1" t="s">
        <v>12</v>
      </c>
      <c r="D48">
        <f t="array" ref="D48:D50">+MMULT(I47:K49,D14:D16)</f>
        <v>11</v>
      </c>
      <c r="F48" t="s">
        <v>13</v>
      </c>
      <c r="H48" t="s">
        <v>14</v>
      </c>
      <c r="I48">
        <v>0.25</v>
      </c>
      <c r="J48">
        <v>1</v>
      </c>
      <c r="K48">
        <v>0</v>
      </c>
    </row>
    <row r="49" spans="2:11" x14ac:dyDescent="0.25">
      <c r="B49" s="1"/>
      <c r="D49">
        <v>6.75</v>
      </c>
      <c r="I49">
        <v>-0.16666666666666669</v>
      </c>
      <c r="J49">
        <v>0.33333333333333331</v>
      </c>
      <c r="K49">
        <v>1</v>
      </c>
    </row>
    <row r="50" spans="2:11" x14ac:dyDescent="0.25">
      <c r="B50" s="1"/>
      <c r="D50">
        <v>6.5</v>
      </c>
    </row>
    <row r="51" spans="2:11" x14ac:dyDescent="0.25">
      <c r="B51" s="1"/>
    </row>
    <row r="52" spans="2:11" x14ac:dyDescent="0.25">
      <c r="B52" s="1" t="s">
        <v>15</v>
      </c>
      <c r="D52" s="1">
        <f t="array" ref="D52:D54">+MMULT(I52:K54,D48:D50)</f>
        <v>1</v>
      </c>
      <c r="H52" t="s">
        <v>16</v>
      </c>
      <c r="I52">
        <f t="array" ref="I52:K54">+MINVERSE(D36:F38)</f>
        <v>0.125</v>
      </c>
      <c r="J52">
        <v>-8.3333333333333329E-2</v>
      </c>
      <c r="K52">
        <v>2.8846153846153848E-2</v>
      </c>
    </row>
    <row r="53" spans="2:11" x14ac:dyDescent="0.25">
      <c r="B53" s="1"/>
      <c r="D53" s="1">
        <v>1</v>
      </c>
      <c r="F53" t="s">
        <v>17</v>
      </c>
      <c r="I53">
        <v>0</v>
      </c>
      <c r="J53">
        <v>0.16666666666666666</v>
      </c>
      <c r="K53">
        <v>-1.9230769230769232E-2</v>
      </c>
    </row>
    <row r="54" spans="2:11" x14ac:dyDescent="0.25">
      <c r="B54" s="1"/>
      <c r="D54" s="1">
        <v>1</v>
      </c>
      <c r="I54">
        <v>0</v>
      </c>
      <c r="J54">
        <v>0</v>
      </c>
      <c r="K54">
        <v>0.15384615384615385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 1</vt:lpstr>
      <vt:lpstr>ejercicio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BERNARDO</dc:creator>
  <cp:lastModifiedBy>USUARIO RYZEN</cp:lastModifiedBy>
  <dcterms:created xsi:type="dcterms:W3CDTF">2026-03-26T15:02:19Z</dcterms:created>
  <dcterms:modified xsi:type="dcterms:W3CDTF">2026-03-26T15:49:07Z</dcterms:modified>
</cp:coreProperties>
</file>